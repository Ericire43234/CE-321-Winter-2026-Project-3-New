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1a694778ec1de25c/Documentos/CE-321-Winter-2026-Project-3/CE_321_Project_3_Code/"/>
    </mc:Choice>
  </mc:AlternateContent>
  <xr:revisionPtr revIDLastSave="518" documentId="11_F25DC773A252ABDACC104835919973505ADE58EF" xr6:coauthVersionLast="47" xr6:coauthVersionMax="47" xr10:uidLastSave="{85381423-A79C-47CB-A1A6-5F3D182365A2}"/>
  <bookViews>
    <workbookView xWindow="22932" yWindow="-108" windowWidth="23256" windowHeight="12456" xr2:uid="{00000000-000D-0000-FFFF-FFFF00000000}"/>
  </bookViews>
  <sheets>
    <sheet name="Sheet1" sheetId="1" r:id="rId1"/>
    <sheet name="Proj1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9" i="1" l="1"/>
  <c r="C77" i="1"/>
  <c r="C75" i="1"/>
  <c r="C73" i="1"/>
  <c r="C71" i="1"/>
  <c r="C69" i="1"/>
  <c r="C78" i="1"/>
  <c r="C76" i="1"/>
  <c r="C74" i="1"/>
  <c r="C72" i="1"/>
  <c r="C70" i="1"/>
  <c r="C68" i="1"/>
  <c r="C67" i="1"/>
  <c r="C66" i="1"/>
  <c r="C65" i="1"/>
  <c r="C64" i="1"/>
  <c r="C60" i="1" a="1"/>
  <c r="C60" i="1" s="1"/>
  <c r="C59" i="1"/>
  <c r="C55" i="1" a="1"/>
  <c r="C55" i="1" s="1"/>
  <c r="C53" i="1"/>
  <c r="C52" i="1"/>
  <c r="C51" i="1"/>
  <c r="C50" i="1"/>
  <c r="C49" i="1"/>
  <c r="C48" i="1"/>
  <c r="C47" i="1"/>
  <c r="C46" i="1"/>
  <c r="C37" i="1"/>
  <c r="C36" i="1"/>
  <c r="C35" i="1"/>
  <c r="C34" i="1"/>
  <c r="C33" i="1"/>
  <c r="D33" i="1"/>
  <c r="C45" i="1"/>
  <c r="C44" i="1"/>
  <c r="C43" i="1"/>
  <c r="C42" i="1"/>
  <c r="C9" i="2"/>
  <c r="C61" i="2"/>
  <c r="C24" i="2"/>
  <c r="C23" i="2"/>
  <c r="C29" i="2" s="1"/>
  <c r="C22" i="2"/>
  <c r="C21" i="2"/>
  <c r="F17" i="2"/>
  <c r="C17" i="2"/>
  <c r="J12" i="2"/>
  <c r="J11" i="2"/>
  <c r="F11" i="2"/>
  <c r="C11" i="2"/>
  <c r="J10" i="2"/>
  <c r="E46" i="2" s="1"/>
  <c r="J9" i="2"/>
  <c r="F9" i="2"/>
  <c r="F15" i="2" s="1"/>
  <c r="J8" i="2"/>
  <c r="F12" i="2" s="1"/>
  <c r="F18" i="2" s="1"/>
  <c r="J7" i="2"/>
  <c r="J6" i="2"/>
  <c r="J5" i="2"/>
  <c r="C12" i="2" s="1"/>
  <c r="C18" i="2" s="1"/>
  <c r="J4" i="2"/>
  <c r="J3" i="2"/>
  <c r="C15" i="2" s="1"/>
  <c r="C27" i="2" s="1"/>
  <c r="D30" i="1"/>
  <c r="D29" i="1"/>
  <c r="D36" i="1" s="1"/>
  <c r="D28" i="1"/>
  <c r="D27" i="1"/>
  <c r="D26" i="1"/>
  <c r="D25" i="1"/>
  <c r="D24" i="1"/>
  <c r="C24" i="1"/>
  <c r="C32" i="1"/>
  <c r="D37" i="1"/>
  <c r="C30" i="1"/>
  <c r="D35" i="1"/>
  <c r="C27" i="1"/>
  <c r="D34" i="1"/>
  <c r="C26" i="1"/>
  <c r="C25" i="1"/>
  <c r="C22" i="1"/>
  <c r="M21" i="1"/>
  <c r="I21" i="1"/>
  <c r="M18" i="1"/>
  <c r="I18" i="1"/>
  <c r="C18" i="1"/>
  <c r="C20" i="1"/>
  <c r="C12" i="1"/>
  <c r="C17" i="1"/>
  <c r="C16" i="1"/>
  <c r="C14" i="1"/>
  <c r="C13" i="1"/>
  <c r="C30" i="2" l="1"/>
  <c r="F35" i="2"/>
  <c r="C49" i="2" s="1"/>
  <c r="C57" i="2" s="1"/>
  <c r="C35" i="2"/>
  <c r="F33" i="2"/>
  <c r="C33" i="2"/>
  <c r="J15" i="2"/>
  <c r="C10" i="2"/>
  <c r="C16" i="2" s="1"/>
  <c r="C28" i="2" s="1"/>
  <c r="F10" i="2"/>
  <c r="F16" i="2" s="1"/>
  <c r="C28" i="1"/>
  <c r="C29" i="1"/>
  <c r="F4" i="1"/>
  <c r="C15" i="1" s="1"/>
  <c r="C39" i="2" l="1"/>
  <c r="C40" i="2" s="1"/>
  <c r="F36" i="2"/>
  <c r="C36" i="2"/>
  <c r="F34" i="2"/>
  <c r="C34" i="2"/>
  <c r="C42" i="2" l="1"/>
  <c r="C62" i="2" l="1"/>
  <c r="C47" i="2"/>
  <c r="C46" i="2"/>
  <c r="C43" i="2"/>
  <c r="C60" i="2" l="1"/>
  <c r="C44" i="2"/>
  <c r="C58" i="2" s="1"/>
  <c r="C48" i="2"/>
  <c r="C54" i="2" s="1"/>
  <c r="C56" i="2"/>
  <c r="C59" i="2"/>
  <c r="C51" i="2"/>
  <c r="C55" i="2" s="1"/>
  <c r="C50" i="2" l="1"/>
  <c r="C53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<sst xmlns="http://schemas.openxmlformats.org/spreadsheetml/2006/main" count="397" uniqueCount="300">
  <si>
    <t>V_n</t>
  </si>
  <si>
    <t>mph</t>
  </si>
  <si>
    <t>K_zt</t>
  </si>
  <si>
    <t>K_d</t>
  </si>
  <si>
    <t>K_e</t>
  </si>
  <si>
    <t>G</t>
  </si>
  <si>
    <t>GC_pi</t>
  </si>
  <si>
    <t>Q1</t>
  </si>
  <si>
    <t>Structure Height</t>
  </si>
  <si>
    <t>ft</t>
  </si>
  <si>
    <t>*Could try 10'-6 5/8"</t>
  </si>
  <si>
    <t>Q2</t>
  </si>
  <si>
    <t>Mean Roof Height</t>
  </si>
  <si>
    <t>Q3</t>
  </si>
  <si>
    <t>q_z (0-15)</t>
  </si>
  <si>
    <t>K_z (0-15)</t>
  </si>
  <si>
    <t>K_z (15-20)</t>
  </si>
  <si>
    <t>psf</t>
  </si>
  <si>
    <t>Q4</t>
  </si>
  <si>
    <t>q_z (15-20)</t>
  </si>
  <si>
    <t>K_z(25.656)</t>
  </si>
  <si>
    <t>Q5</t>
  </si>
  <si>
    <t>Q6</t>
  </si>
  <si>
    <t>Q7</t>
  </si>
  <si>
    <t>Q8</t>
  </si>
  <si>
    <t>Q9</t>
  </si>
  <si>
    <t>Q10</t>
  </si>
  <si>
    <t>Q11</t>
  </si>
  <si>
    <t>Q12</t>
  </si>
  <si>
    <t>Q13</t>
  </si>
  <si>
    <t>Q14</t>
  </si>
  <si>
    <t>Q15</t>
  </si>
  <si>
    <t>L/B</t>
  </si>
  <si>
    <t>L</t>
  </si>
  <si>
    <t>B</t>
  </si>
  <si>
    <t>*Could try 41'-1 3/4"</t>
  </si>
  <si>
    <t>*Could try 48'-8"</t>
  </si>
  <si>
    <t>H/L</t>
  </si>
  <si>
    <t>Angle</t>
  </si>
  <si>
    <t>degrees</t>
  </si>
  <si>
    <t>*Revit says 22.62</t>
  </si>
  <si>
    <t>Cp Windward</t>
  </si>
  <si>
    <t>*Use with q_z</t>
  </si>
  <si>
    <t>Leeward wall</t>
  </si>
  <si>
    <t>Cp Leeward wall</t>
  </si>
  <si>
    <t>Cp Side wall</t>
  </si>
  <si>
    <t>*Use with q_h</t>
  </si>
  <si>
    <t>Cp Windward Rooft</t>
  </si>
  <si>
    <t>Leeward Wall Interpolation</t>
  </si>
  <si>
    <t>Windward Roof Interpolation</t>
  </si>
  <si>
    <t>.@25</t>
  </si>
  <si>
    <t>.@30</t>
  </si>
  <si>
    <t>Cp Leward Roof</t>
  </si>
  <si>
    <t>q_h</t>
  </si>
  <si>
    <t>qh(Gcpi)</t>
  </si>
  <si>
    <t>Windward wall (0-15)</t>
  </si>
  <si>
    <t>Q16</t>
  </si>
  <si>
    <t>Q17</t>
  </si>
  <si>
    <t>Q18</t>
  </si>
  <si>
    <t>Q19</t>
  </si>
  <si>
    <t>Q20</t>
  </si>
  <si>
    <t>Q21</t>
  </si>
  <si>
    <t>Q22</t>
  </si>
  <si>
    <t>Q23</t>
  </si>
  <si>
    <t>Q24</t>
  </si>
  <si>
    <t>Q25</t>
  </si>
  <si>
    <t>Q26</t>
  </si>
  <si>
    <t>Q27</t>
  </si>
  <si>
    <t>Q28</t>
  </si>
  <si>
    <t>Q29</t>
  </si>
  <si>
    <t>Windward wall (15-20)</t>
  </si>
  <si>
    <t>Sidewall</t>
  </si>
  <si>
    <t>Windward Roof</t>
  </si>
  <si>
    <t>Leeward Roof</t>
  </si>
  <si>
    <t>T</t>
  </si>
  <si>
    <t>Trib Center</t>
  </si>
  <si>
    <t>Windward loads (15-20)</t>
  </si>
  <si>
    <t>plf</t>
  </si>
  <si>
    <t>Windward loads (0-15)</t>
  </si>
  <si>
    <t>Leeward loads</t>
  </si>
  <si>
    <t>Windward Truss Loads</t>
  </si>
  <si>
    <t>Leeward Truss loads</t>
  </si>
  <si>
    <t>Do when ansers are verified</t>
  </si>
  <si>
    <t>Q30</t>
  </si>
  <si>
    <t>Q31</t>
  </si>
  <si>
    <t>Q32</t>
  </si>
  <si>
    <t>Q33</t>
  </si>
  <si>
    <t>Q34</t>
  </si>
  <si>
    <t>Q35</t>
  </si>
  <si>
    <t>Q36</t>
  </si>
  <si>
    <t>Q37</t>
  </si>
  <si>
    <t>Q38</t>
  </si>
  <si>
    <t>Q39</t>
  </si>
  <si>
    <t>Q40</t>
  </si>
  <si>
    <t>Q41</t>
  </si>
  <si>
    <t>Q42</t>
  </si>
  <si>
    <t>Q43</t>
  </si>
  <si>
    <t>Q44</t>
  </si>
  <si>
    <t>Q45</t>
  </si>
  <si>
    <t>Q46</t>
  </si>
  <si>
    <t>Q47</t>
  </si>
  <si>
    <t>Q48</t>
  </si>
  <si>
    <t>Q49</t>
  </si>
  <si>
    <t>Q50</t>
  </si>
  <si>
    <t>Q51</t>
  </si>
  <si>
    <t>Q52</t>
  </si>
  <si>
    <t>Q53</t>
  </si>
  <si>
    <t>Q54</t>
  </si>
  <si>
    <t>Q55</t>
  </si>
  <si>
    <t>Q56</t>
  </si>
  <si>
    <t>Q57</t>
  </si>
  <si>
    <t>Q58</t>
  </si>
  <si>
    <t>Q59</t>
  </si>
  <si>
    <t>Q60</t>
  </si>
  <si>
    <t>Q61</t>
  </si>
  <si>
    <t>Q62</t>
  </si>
  <si>
    <t>Factor</t>
  </si>
  <si>
    <t>Truss Weight</t>
  </si>
  <si>
    <t>Live load</t>
  </si>
  <si>
    <t>Each node</t>
  </si>
  <si>
    <t>Bo and B11</t>
  </si>
  <si>
    <t>Purlin weight</t>
  </si>
  <si>
    <t>Snow Load</t>
  </si>
  <si>
    <t>B1 and B10</t>
  </si>
  <si>
    <t>Plywood</t>
  </si>
  <si>
    <t>B2 and B9</t>
  </si>
  <si>
    <t>Shingles</t>
  </si>
  <si>
    <t>B3 and B8</t>
  </si>
  <si>
    <t>B4 and B7</t>
  </si>
  <si>
    <t>Trib Areas</t>
  </si>
  <si>
    <t>Snow Trib areas</t>
  </si>
  <si>
    <t>B5 and B6</t>
  </si>
  <si>
    <t>Node 0 and 1</t>
  </si>
  <si>
    <t>B19 and B20</t>
  </si>
  <si>
    <t>Nodes 8 and 9</t>
  </si>
  <si>
    <t>B15 and B17</t>
  </si>
  <si>
    <t>Nodes 5 and 7</t>
  </si>
  <si>
    <t>B13 and B14</t>
  </si>
  <si>
    <t>Node 2</t>
  </si>
  <si>
    <t>B16 and B18</t>
  </si>
  <si>
    <t>B12</t>
  </si>
  <si>
    <t>Weigth From Roof</t>
  </si>
  <si>
    <t>Weight From snow</t>
  </si>
  <si>
    <t>Purlin</t>
  </si>
  <si>
    <t>Area</t>
  </si>
  <si>
    <t>ft^2</t>
  </si>
  <si>
    <t>Weigth From Purlins</t>
  </si>
  <si>
    <t>COnstruction weight</t>
  </si>
  <si>
    <t>Total Dead Load</t>
  </si>
  <si>
    <t>Dead snow live</t>
  </si>
  <si>
    <t xml:space="preserve">Dead  </t>
  </si>
  <si>
    <t>Live</t>
  </si>
  <si>
    <t>Snow</t>
  </si>
  <si>
    <t>Dead Only Load Combo</t>
  </si>
  <si>
    <t>Totals</t>
  </si>
  <si>
    <t>Rx1</t>
  </si>
  <si>
    <t>Ry1</t>
  </si>
  <si>
    <t>Ry2</t>
  </si>
  <si>
    <t>B0</t>
  </si>
  <si>
    <t>B3</t>
  </si>
  <si>
    <t>B4</t>
  </si>
  <si>
    <t>B19</t>
  </si>
  <si>
    <t>B15</t>
  </si>
  <si>
    <t>d</t>
  </si>
  <si>
    <t>B1</t>
  </si>
  <si>
    <t>B2</t>
  </si>
  <si>
    <t>B13</t>
  </si>
  <si>
    <t>B5</t>
  </si>
  <si>
    <t>B16</t>
  </si>
  <si>
    <t>B6</t>
  </si>
  <si>
    <t>B9</t>
  </si>
  <si>
    <t>B18</t>
  </si>
  <si>
    <t>B10</t>
  </si>
  <si>
    <t>B14</t>
  </si>
  <si>
    <t>B7</t>
  </si>
  <si>
    <t>B17</t>
  </si>
  <si>
    <t>B8</t>
  </si>
  <si>
    <t>B20</t>
  </si>
  <si>
    <t>B11</t>
  </si>
  <si>
    <t>Node 2 Trip</t>
  </si>
  <si>
    <t>Windward Load 0</t>
  </si>
  <si>
    <t>Windward Load 2</t>
  </si>
  <si>
    <t>Windward Load 5</t>
  </si>
  <si>
    <t>Windward Load 8</t>
  </si>
  <si>
    <t>lbs</t>
  </si>
  <si>
    <t>Node 0 1 Trip</t>
  </si>
  <si>
    <t>Node 8 9 Trip</t>
  </si>
  <si>
    <t>Node 5 7 Trip</t>
  </si>
  <si>
    <t>Leeward Load 2</t>
  </si>
  <si>
    <t>Leeward Load 1</t>
  </si>
  <si>
    <t>Leeward Load 9</t>
  </si>
  <si>
    <t>Leeward Load 7</t>
  </si>
  <si>
    <t>DL 0</t>
  </si>
  <si>
    <t>DL 8</t>
  </si>
  <si>
    <t>DL 5</t>
  </si>
  <si>
    <t>DL 2</t>
  </si>
  <si>
    <t>SL 0</t>
  </si>
  <si>
    <t>SL 8</t>
  </si>
  <si>
    <t>SL 5</t>
  </si>
  <si>
    <t>SL 2</t>
  </si>
  <si>
    <t>aF=Fx, a?</t>
  </si>
  <si>
    <t>bF=Fb, b?</t>
  </si>
  <si>
    <t>N0 x</t>
  </si>
  <si>
    <t>N0 y</t>
  </si>
  <si>
    <t>N8 x</t>
  </si>
  <si>
    <t>N8 y</t>
  </si>
  <si>
    <t>N5 x</t>
  </si>
  <si>
    <t>N5 y</t>
  </si>
  <si>
    <t>N2 x</t>
  </si>
  <si>
    <t>N2 y</t>
  </si>
  <si>
    <t>N7 x</t>
  </si>
  <si>
    <t>N7 y</t>
  </si>
  <si>
    <t>N9 x</t>
  </si>
  <si>
    <t>N9 y</t>
  </si>
  <si>
    <t>N1 x</t>
  </si>
  <si>
    <t>N1 y</t>
  </si>
  <si>
    <t>Q63</t>
  </si>
  <si>
    <t>Q64</t>
  </si>
  <si>
    <t>Q65</t>
  </si>
  <si>
    <t>Q66</t>
  </si>
  <si>
    <t>Q67</t>
  </si>
  <si>
    <t>Q68</t>
  </si>
  <si>
    <t>Q69</t>
  </si>
  <si>
    <t>Load Combos</t>
  </si>
  <si>
    <t>DL</t>
  </si>
  <si>
    <t>LL</t>
  </si>
  <si>
    <t>WL</t>
  </si>
  <si>
    <t>SL</t>
  </si>
  <si>
    <t>Q70</t>
  </si>
  <si>
    <t>Q71</t>
  </si>
  <si>
    <t>Assembly</t>
  </si>
  <si>
    <t>Q72</t>
  </si>
  <si>
    <t>Q73</t>
  </si>
  <si>
    <t>Q74</t>
  </si>
  <si>
    <t>Q75</t>
  </si>
  <si>
    <t>Q76</t>
  </si>
  <si>
    <t>Q77</t>
  </si>
  <si>
    <t>Q78</t>
  </si>
  <si>
    <t>Q79</t>
  </si>
  <si>
    <t>Q80</t>
  </si>
  <si>
    <t>Q81</t>
  </si>
  <si>
    <t>Q82</t>
  </si>
  <si>
    <t>Q83</t>
  </si>
  <si>
    <t>Q84</t>
  </si>
  <si>
    <t>Q85</t>
  </si>
  <si>
    <t>Q86</t>
  </si>
  <si>
    <t>Q87</t>
  </si>
  <si>
    <t>Q88</t>
  </si>
  <si>
    <t>Q89</t>
  </si>
  <si>
    <t>Q90</t>
  </si>
  <si>
    <t>Q91</t>
  </si>
  <si>
    <t>Q92</t>
  </si>
  <si>
    <t>Q93</t>
  </si>
  <si>
    <t>Q94</t>
  </si>
  <si>
    <t>Q95</t>
  </si>
  <si>
    <t>Q96</t>
  </si>
  <si>
    <t>Q97</t>
  </si>
  <si>
    <t>Q98</t>
  </si>
  <si>
    <t>Q99</t>
  </si>
  <si>
    <t>Q100</t>
  </si>
  <si>
    <t>Q101</t>
  </si>
  <si>
    <t>Q102</t>
  </si>
  <si>
    <t>Q103</t>
  </si>
  <si>
    <t>Q104</t>
  </si>
  <si>
    <t>Q105</t>
  </si>
  <si>
    <t>Q106</t>
  </si>
  <si>
    <t>Q107</t>
  </si>
  <si>
    <t>Q108</t>
  </si>
  <si>
    <t>Q109</t>
  </si>
  <si>
    <t>Q110</t>
  </si>
  <si>
    <t>Q111</t>
  </si>
  <si>
    <t>Q112</t>
  </si>
  <si>
    <t>Q113</t>
  </si>
  <si>
    <t>Q114</t>
  </si>
  <si>
    <t>Q115</t>
  </si>
  <si>
    <t>Q116</t>
  </si>
  <si>
    <t>Q117</t>
  </si>
  <si>
    <t>Q118</t>
  </si>
  <si>
    <t>Q119</t>
  </si>
  <si>
    <t>Q120</t>
  </si>
  <si>
    <t>Q121</t>
  </si>
  <si>
    <t>Q122</t>
  </si>
  <si>
    <t>Q123</t>
  </si>
  <si>
    <t>Q124</t>
  </si>
  <si>
    <t>Q125</t>
  </si>
  <si>
    <t>Q126</t>
  </si>
  <si>
    <t>Q127</t>
  </si>
  <si>
    <t>Q128</t>
  </si>
  <si>
    <t>Q129</t>
  </si>
  <si>
    <t>Classes</t>
  </si>
  <si>
    <t>Index</t>
  </si>
  <si>
    <t>Import</t>
  </si>
  <si>
    <t>Main</t>
  </si>
  <si>
    <t>Section</t>
  </si>
  <si>
    <t>Solver</t>
  </si>
  <si>
    <t>d x middle top</t>
  </si>
  <si>
    <t>d y middle top</t>
  </si>
  <si>
    <t xml:space="preserve">d x  </t>
  </si>
  <si>
    <t>dy</t>
  </si>
  <si>
    <t>Do when ansers are verified, use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</si>
</sst>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0" fontId="0" fillId="2" borderId="0" xfId="0" applyFill="1" applyAlignment="1">
      <alignment horizontal="right"/>
    </xf>
    <xf numFmtId="0" fontId="0" fillId="2" borderId="0" xfId="0" applyFill="1"/>
    <xf numFmtId="0" fontId="0" fillId="3" borderId="0" xfId="0" applyFill="1" applyAlignment="1">
      <alignment horizontal="right"/>
    </xf>
    <xf numFmtId="0" fontId="0" fillId="3" borderId="0" xfId="0" applyFill="1"/>
    <xf numFmtId="0" fontId="3" fillId="3" borderId="0" xfId="1" applyFill="1"/>
    <xf numFmtId="164" fontId="0" fillId="3" borderId="0" xfId="0" applyNumberFormat="1" applyFill="1"/>
    <xf numFmtId="164" fontId="0" fillId="0" borderId="0" xfId="0" applyNumberFormat="1" applyAlignment="1">
      <alignment horizontal="left"/>
    </xf>
    <xf numFmtId="164" fontId="1" fillId="0" borderId="0" xfId="0" applyNumberFormat="1" applyFont="1" applyAlignment="1">
      <alignment horizontal="center"/>
    </xf>
    <xf numFmtId="0" fontId="4" fillId="0" borderId="0" xfId="0" applyFont="1"/>
    <xf numFmtId="1" fontId="4" fillId="0" borderId="0" xfId="0" applyNumberFormat="1" applyFont="1"/>
    <xf numFmtId="0" fontId="0" fillId="0" borderId="0" xfId="0" applyAlignment="1">
      <alignment horizontal="right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.@30" TargetMode="External"/><Relationship Id="rId1" Type="http://schemas.openxmlformats.org/officeDocument/2006/relationships/hyperlink" Target="mailto:.@2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M139"/>
  <sheetViews>
    <sheetView tabSelected="1" topLeftCell="A88" workbookViewId="0">
      <selection activeCell="C96" sqref="C96"/>
    </sheetView>
  </sheetViews>
  <sheetFormatPr defaultRowHeight="15" x14ac:dyDescent="0.25"/>
  <cols>
    <col min="2" max="2" width="23.28515625" style="2" bestFit="1" customWidth="1"/>
    <col min="3" max="3" width="12.140625" style="1" customWidth="1"/>
    <col min="4" max="4" width="13" style="3" bestFit="1" customWidth="1"/>
    <col min="5" max="5" width="19" bestFit="1" customWidth="1"/>
    <col min="6" max="6" width="12" bestFit="1" customWidth="1"/>
    <col min="13" max="13" width="10.7109375" bestFit="1" customWidth="1"/>
  </cols>
  <sheetData>
    <row r="2" spans="1:13" x14ac:dyDescent="0.25">
      <c r="B2" s="2" t="s">
        <v>0</v>
      </c>
      <c r="C2" s="1">
        <v>115</v>
      </c>
      <c r="D2" s="3" t="s">
        <v>1</v>
      </c>
      <c r="E2" t="s">
        <v>15</v>
      </c>
      <c r="F2">
        <v>0.85</v>
      </c>
    </row>
    <row r="3" spans="1:13" x14ac:dyDescent="0.25">
      <c r="B3" s="2" t="s">
        <v>2</v>
      </c>
      <c r="C3" s="1">
        <v>1</v>
      </c>
      <c r="E3" t="s">
        <v>16</v>
      </c>
      <c r="F3">
        <v>0.9</v>
      </c>
    </row>
    <row r="4" spans="1:13" x14ac:dyDescent="0.25">
      <c r="B4" s="2" t="s">
        <v>3</v>
      </c>
      <c r="C4" s="1">
        <v>1</v>
      </c>
      <c r="E4" t="s">
        <v>20</v>
      </c>
      <c r="F4">
        <f>(C12-25)/(5)*(H4-G4)+G4</f>
        <v>0.94524999999999992</v>
      </c>
      <c r="G4">
        <v>0.94</v>
      </c>
      <c r="H4">
        <v>0.98</v>
      </c>
    </row>
    <row r="5" spans="1:13" x14ac:dyDescent="0.25">
      <c r="B5" s="2" t="s">
        <v>4</v>
      </c>
      <c r="C5" s="1">
        <v>1</v>
      </c>
      <c r="E5" t="s">
        <v>33</v>
      </c>
      <c r="F5">
        <v>48</v>
      </c>
      <c r="G5" t="s">
        <v>9</v>
      </c>
      <c r="H5" t="s">
        <v>36</v>
      </c>
    </row>
    <row r="6" spans="1:13" x14ac:dyDescent="0.25">
      <c r="B6" s="2" t="s">
        <v>5</v>
      </c>
      <c r="C6" s="1">
        <v>0.85</v>
      </c>
      <c r="E6" t="s">
        <v>34</v>
      </c>
      <c r="F6">
        <v>40</v>
      </c>
      <c r="G6" t="s">
        <v>9</v>
      </c>
      <c r="H6" t="s">
        <v>35</v>
      </c>
    </row>
    <row r="7" spans="1:13" x14ac:dyDescent="0.25">
      <c r="B7" s="15" t="s">
        <v>6</v>
      </c>
      <c r="C7" s="1">
        <v>0.18</v>
      </c>
    </row>
    <row r="8" spans="1:13" x14ac:dyDescent="0.25">
      <c r="B8" s="15"/>
      <c r="C8" s="1">
        <v>-0.18</v>
      </c>
    </row>
    <row r="11" spans="1:13" x14ac:dyDescent="0.25">
      <c r="A11" t="s">
        <v>7</v>
      </c>
      <c r="B11" s="2" t="s">
        <v>8</v>
      </c>
      <c r="C11" s="1">
        <v>20</v>
      </c>
      <c r="D11" s="3" t="s">
        <v>9</v>
      </c>
    </row>
    <row r="12" spans="1:13" x14ac:dyDescent="0.25">
      <c r="A12" t="s">
        <v>11</v>
      </c>
      <c r="B12" s="2" t="s">
        <v>12</v>
      </c>
      <c r="C12" s="4">
        <f>C11+(11+(3+3/4)/12)/2</f>
        <v>25.65625</v>
      </c>
      <c r="D12" s="3" t="s">
        <v>9</v>
      </c>
      <c r="E12" t="s">
        <v>10</v>
      </c>
      <c r="I12" s="6" t="s">
        <v>48</v>
      </c>
      <c r="J12" s="6"/>
    </row>
    <row r="13" spans="1:13" x14ac:dyDescent="0.25">
      <c r="A13" t="s">
        <v>13</v>
      </c>
      <c r="B13" s="2" t="s">
        <v>14</v>
      </c>
      <c r="C13" s="4">
        <f>0.00256*F2*C3*C4*C5*C2^2</f>
        <v>28.7776</v>
      </c>
      <c r="D13" s="3" t="s">
        <v>17</v>
      </c>
      <c r="I13" s="6">
        <v>1</v>
      </c>
      <c r="J13" s="6">
        <v>2</v>
      </c>
    </row>
    <row r="14" spans="1:13" x14ac:dyDescent="0.25">
      <c r="A14" t="s">
        <v>18</v>
      </c>
      <c r="B14" s="2" t="s">
        <v>19</v>
      </c>
      <c r="C14" s="4">
        <f>0.00256*F3*C3*C4*C5*C2^2</f>
        <v>30.470400000000001</v>
      </c>
      <c r="D14" s="3" t="s">
        <v>17</v>
      </c>
      <c r="I14" s="6">
        <v>-0.5</v>
      </c>
      <c r="J14" s="6">
        <v>-0.3</v>
      </c>
    </row>
    <row r="15" spans="1:13" x14ac:dyDescent="0.25">
      <c r="A15" t="s">
        <v>21</v>
      </c>
      <c r="B15" s="2" t="s">
        <v>53</v>
      </c>
      <c r="C15" s="4">
        <f>0.00256*F4*C3*C4*C5*C2^2</f>
        <v>32.002383999999999</v>
      </c>
      <c r="D15" s="3" t="s">
        <v>17</v>
      </c>
    </row>
    <row r="16" spans="1:13" x14ac:dyDescent="0.25">
      <c r="A16" t="s">
        <v>22</v>
      </c>
      <c r="B16" s="2" t="s">
        <v>32</v>
      </c>
      <c r="C16" s="1">
        <f>F5/F6</f>
        <v>1.2</v>
      </c>
      <c r="D16" s="3" t="s">
        <v>9</v>
      </c>
      <c r="I16" s="8"/>
      <c r="J16" s="8" t="s">
        <v>49</v>
      </c>
      <c r="K16" s="8"/>
      <c r="L16" s="8"/>
      <c r="M16" s="8"/>
    </row>
    <row r="17" spans="1:13" x14ac:dyDescent="0.25">
      <c r="A17" t="s">
        <v>23</v>
      </c>
      <c r="B17" s="2" t="s">
        <v>37</v>
      </c>
      <c r="C17" s="4">
        <f>C11/F5</f>
        <v>0.41666666666666669</v>
      </c>
      <c r="D17" s="3" t="s">
        <v>9</v>
      </c>
      <c r="I17" s="9" t="s">
        <v>50</v>
      </c>
      <c r="J17" s="8">
        <v>0.25</v>
      </c>
      <c r="K17" s="8">
        <v>0.5</v>
      </c>
      <c r="L17" s="8"/>
      <c r="M17" s="8"/>
    </row>
    <row r="18" spans="1:13" x14ac:dyDescent="0.25">
      <c r="A18" t="s">
        <v>24</v>
      </c>
      <c r="B18" s="2" t="s">
        <v>38</v>
      </c>
      <c r="C18" s="4">
        <f>ATAN((C12-C11)*2/(F5/2))*180/PI()</f>
        <v>25.237041255810915</v>
      </c>
      <c r="D18" s="3" t="s">
        <v>39</v>
      </c>
      <c r="E18" t="s">
        <v>40</v>
      </c>
      <c r="I18" s="10">
        <f>C17</f>
        <v>0.41666666666666669</v>
      </c>
      <c r="J18" s="8">
        <v>-0.2</v>
      </c>
      <c r="K18" s="8">
        <v>-0.3</v>
      </c>
      <c r="L18" s="8">
        <v>25</v>
      </c>
      <c r="M18" s="8">
        <f>(I18-J17)/(K17-J17)*(K18-J18)+J18</f>
        <v>-0.26666666666666666</v>
      </c>
    </row>
    <row r="19" spans="1:13" x14ac:dyDescent="0.25">
      <c r="A19" t="s">
        <v>25</v>
      </c>
      <c r="B19" s="2" t="s">
        <v>41</v>
      </c>
      <c r="C19" s="1">
        <v>0.8</v>
      </c>
      <c r="E19" t="s">
        <v>42</v>
      </c>
      <c r="I19" s="8"/>
      <c r="J19" s="8"/>
      <c r="K19" s="8"/>
      <c r="L19" s="8"/>
      <c r="M19" s="8"/>
    </row>
    <row r="20" spans="1:13" x14ac:dyDescent="0.25">
      <c r="A20" t="s">
        <v>26</v>
      </c>
      <c r="B20" s="5" t="s">
        <v>44</v>
      </c>
      <c r="C20" s="1">
        <f>(C16-I13)/(J13-I13)*(J14-I14)+I14</f>
        <v>-0.46</v>
      </c>
      <c r="E20" t="s">
        <v>46</v>
      </c>
      <c r="I20" s="9" t="s">
        <v>51</v>
      </c>
      <c r="J20" s="8">
        <v>0.25</v>
      </c>
      <c r="K20" s="8">
        <v>0.5</v>
      </c>
      <c r="L20" s="8"/>
      <c r="M20" s="8"/>
    </row>
    <row r="21" spans="1:13" x14ac:dyDescent="0.25">
      <c r="A21" t="s">
        <v>27</v>
      </c>
      <c r="B21" s="2" t="s">
        <v>45</v>
      </c>
      <c r="C21" s="1">
        <v>-0.7</v>
      </c>
      <c r="E21" t="s">
        <v>46</v>
      </c>
      <c r="I21" s="10">
        <f>I18</f>
        <v>0.41666666666666669</v>
      </c>
      <c r="J21" s="8">
        <v>-0.2</v>
      </c>
      <c r="K21" s="8">
        <v>-0.2</v>
      </c>
      <c r="L21" s="8">
        <v>30</v>
      </c>
      <c r="M21" s="8">
        <f>(I21-J20)/(K20-J20)*(K21-J21)+J21</f>
        <v>-0.2</v>
      </c>
    </row>
    <row r="22" spans="1:13" x14ac:dyDescent="0.25">
      <c r="A22" t="s">
        <v>28</v>
      </c>
      <c r="B22" s="7" t="s">
        <v>47</v>
      </c>
      <c r="C22" s="4">
        <f>(C18-L18)/(L21-L18)*(M21-M18)+M18</f>
        <v>-0.26350611658918782</v>
      </c>
      <c r="E22" t="s">
        <v>46</v>
      </c>
    </row>
    <row r="23" spans="1:13" x14ac:dyDescent="0.25">
      <c r="A23" t="s">
        <v>29</v>
      </c>
      <c r="B23" s="2" t="s">
        <v>52</v>
      </c>
      <c r="C23" s="1">
        <v>-0.6</v>
      </c>
      <c r="E23" t="s">
        <v>46</v>
      </c>
    </row>
    <row r="24" spans="1:13" x14ac:dyDescent="0.25">
      <c r="A24" t="s">
        <v>30</v>
      </c>
      <c r="B24" s="2" t="s">
        <v>54</v>
      </c>
      <c r="C24" s="4">
        <f>C15*C7</f>
        <v>5.7604291199999995</v>
      </c>
      <c r="D24" s="4">
        <f>C15*C8</f>
        <v>-5.7604291199999995</v>
      </c>
    </row>
    <row r="25" spans="1:13" x14ac:dyDescent="0.25">
      <c r="A25" t="s">
        <v>31</v>
      </c>
      <c r="B25" s="2" t="s">
        <v>55</v>
      </c>
      <c r="C25" s="4">
        <f>C13*C6*(C19)-C24</f>
        <v>13.808338880000003</v>
      </c>
      <c r="D25" s="11">
        <f>C13*C6*(C19)-D24</f>
        <v>25.329197120000003</v>
      </c>
      <c r="E25" t="s">
        <v>17</v>
      </c>
    </row>
    <row r="26" spans="1:13" x14ac:dyDescent="0.25">
      <c r="A26" t="s">
        <v>56</v>
      </c>
      <c r="B26" s="2" t="s">
        <v>70</v>
      </c>
      <c r="C26" s="4">
        <f>C14*C6*(C19)-C24</f>
        <v>14.959442880000003</v>
      </c>
      <c r="D26" s="11">
        <f>C14*C6*(C19)-D24</f>
        <v>26.48030112</v>
      </c>
      <c r="E26" t="s">
        <v>17</v>
      </c>
    </row>
    <row r="27" spans="1:13" x14ac:dyDescent="0.25">
      <c r="A27" t="s">
        <v>57</v>
      </c>
      <c r="B27" s="2" t="s">
        <v>43</v>
      </c>
      <c r="C27" s="4">
        <f>C15*C8*(C20)-C24</f>
        <v>-3.1106317247999997</v>
      </c>
      <c r="D27" s="11">
        <f>C15*C8*(C20)-D24</f>
        <v>8.4102265151999998</v>
      </c>
      <c r="E27" t="s">
        <v>17</v>
      </c>
    </row>
    <row r="28" spans="1:13" x14ac:dyDescent="0.25">
      <c r="A28" t="s">
        <v>58</v>
      </c>
      <c r="B28" s="2" t="s">
        <v>71</v>
      </c>
      <c r="C28" s="4">
        <f>C15*C8*(C21)-C24</f>
        <v>-1.7281287360000004</v>
      </c>
      <c r="D28" s="11">
        <f>C15*C8*(C21)-D24</f>
        <v>9.7927295039999986</v>
      </c>
      <c r="E28" t="s">
        <v>17</v>
      </c>
    </row>
    <row r="29" spans="1:13" x14ac:dyDescent="0.25">
      <c r="A29" t="s">
        <v>59</v>
      </c>
      <c r="B29" s="2" t="s">
        <v>72</v>
      </c>
      <c r="C29" s="4">
        <f>C15*C8*(C22)-C24</f>
        <v>-4.2425208127015273</v>
      </c>
      <c r="D29" s="11">
        <f>C15*C8*(C22)-D24</f>
        <v>7.2783374272984718</v>
      </c>
      <c r="E29" t="s">
        <v>17</v>
      </c>
    </row>
    <row r="30" spans="1:13" x14ac:dyDescent="0.25">
      <c r="A30" t="s">
        <v>60</v>
      </c>
      <c r="B30" s="2" t="s">
        <v>73</v>
      </c>
      <c r="C30" s="4">
        <f>C15*C8*(C23)-C24</f>
        <v>-2.3041716480000001</v>
      </c>
      <c r="D30" s="11">
        <f>C15*C8*(C23)-D24</f>
        <v>9.2166865919999985</v>
      </c>
      <c r="E30" t="s">
        <v>17</v>
      </c>
    </row>
    <row r="31" spans="1:13" x14ac:dyDescent="0.25">
      <c r="A31" t="s">
        <v>61</v>
      </c>
      <c r="C31" s="1" t="s">
        <v>74</v>
      </c>
    </row>
    <row r="32" spans="1:13" x14ac:dyDescent="0.25">
      <c r="A32" t="s">
        <v>62</v>
      </c>
      <c r="B32" s="2" t="s">
        <v>75</v>
      </c>
      <c r="C32" s="1">
        <f>F6/2</f>
        <v>20</v>
      </c>
      <c r="D32" s="3" t="s">
        <v>9</v>
      </c>
    </row>
    <row r="33" spans="1:5" x14ac:dyDescent="0.25">
      <c r="A33" t="s">
        <v>63</v>
      </c>
      <c r="B33" s="2" t="s">
        <v>78</v>
      </c>
      <c r="C33" s="4">
        <f>$F$6/2*C25</f>
        <v>276.16677760000005</v>
      </c>
      <c r="D33" s="4">
        <f>$F$6/2*D25</f>
        <v>506.58394240000007</v>
      </c>
      <c r="E33" s="3" t="s">
        <v>77</v>
      </c>
    </row>
    <row r="34" spans="1:5" x14ac:dyDescent="0.25">
      <c r="A34" t="s">
        <v>64</v>
      </c>
      <c r="B34" s="2" t="s">
        <v>76</v>
      </c>
      <c r="C34" s="4">
        <f>$F$6/2*C26</f>
        <v>299.18885760000006</v>
      </c>
      <c r="D34" s="4">
        <f>F6/2*D26</f>
        <v>529.60602240000003</v>
      </c>
      <c r="E34" s="3" t="s">
        <v>77</v>
      </c>
    </row>
    <row r="35" spans="1:5" x14ac:dyDescent="0.25">
      <c r="A35" t="s">
        <v>65</v>
      </c>
      <c r="B35" s="2" t="s">
        <v>79</v>
      </c>
      <c r="C35" s="4">
        <f>$F$6/2*C27</f>
        <v>-62.212634495999993</v>
      </c>
      <c r="D35" s="4">
        <f>F6/2*D27</f>
        <v>168.204530304</v>
      </c>
      <c r="E35" s="3" t="s">
        <v>77</v>
      </c>
    </row>
    <row r="36" spans="1:5" x14ac:dyDescent="0.25">
      <c r="A36" t="s">
        <v>66</v>
      </c>
      <c r="B36" s="2" t="s">
        <v>80</v>
      </c>
      <c r="C36" s="4">
        <f>$F$6/2*C28</f>
        <v>-34.562574720000008</v>
      </c>
      <c r="D36" s="4">
        <f>D29*F6/2</f>
        <v>145.56674854596943</v>
      </c>
      <c r="E36" s="3" t="s">
        <v>77</v>
      </c>
    </row>
    <row r="37" spans="1:5" x14ac:dyDescent="0.25">
      <c r="A37" t="s">
        <v>67</v>
      </c>
      <c r="B37" s="2" t="s">
        <v>81</v>
      </c>
      <c r="C37" s="4">
        <f>$F$6/2*C29</f>
        <v>-84.850416254030549</v>
      </c>
      <c r="D37" s="4">
        <f>D30*F6/2</f>
        <v>184.33373183999998</v>
      </c>
      <c r="E37" s="3" t="s">
        <v>77</v>
      </c>
    </row>
    <row r="38" spans="1:5" x14ac:dyDescent="0.25">
      <c r="A38" t="s">
        <v>68</v>
      </c>
      <c r="C38" s="12" t="s">
        <v>82</v>
      </c>
    </row>
    <row r="39" spans="1:5" x14ac:dyDescent="0.25">
      <c r="A39" t="s">
        <v>69</v>
      </c>
      <c r="C39" s="12" t="s">
        <v>82</v>
      </c>
    </row>
    <row r="40" spans="1:5" x14ac:dyDescent="0.25">
      <c r="A40" t="s">
        <v>83</v>
      </c>
      <c r="B40" s="2" t="s">
        <v>116</v>
      </c>
      <c r="C40" s="4">
        <v>0.5</v>
      </c>
    </row>
    <row r="41" spans="1:5" x14ac:dyDescent="0.25">
      <c r="A41" t="s">
        <v>84</v>
      </c>
      <c r="C41" s="4" t="s">
        <v>74</v>
      </c>
    </row>
    <row r="42" spans="1:5" x14ac:dyDescent="0.25">
      <c r="A42" t="s">
        <v>85</v>
      </c>
      <c r="B42" s="2" t="s">
        <v>185</v>
      </c>
      <c r="C42" s="4">
        <f>Proj1!C9/(Sheet1!F6/2)</f>
        <v>4.288248697916667</v>
      </c>
      <c r="D42" s="3" t="s">
        <v>9</v>
      </c>
    </row>
    <row r="43" spans="1:5" x14ac:dyDescent="0.25">
      <c r="A43" t="s">
        <v>86</v>
      </c>
      <c r="B43" s="2" t="s">
        <v>186</v>
      </c>
      <c r="C43" s="4">
        <f>Proj1!C10/(Sheet1!$F$6/2)</f>
        <v>8.5764973958333339</v>
      </c>
      <c r="D43" s="3" t="s">
        <v>9</v>
      </c>
    </row>
    <row r="44" spans="1:5" x14ac:dyDescent="0.25">
      <c r="A44" t="s">
        <v>87</v>
      </c>
      <c r="B44" s="2" t="s">
        <v>187</v>
      </c>
      <c r="C44" s="4">
        <f>Proj1!C11/(Sheet1!$F$6/2)</f>
        <v>8.7119140625</v>
      </c>
      <c r="D44" s="3" t="s">
        <v>9</v>
      </c>
    </row>
    <row r="45" spans="1:5" x14ac:dyDescent="0.25">
      <c r="A45" t="s">
        <v>88</v>
      </c>
      <c r="B45" s="2" t="s">
        <v>179</v>
      </c>
      <c r="C45" s="4">
        <f>Proj1!C12/(Sheet1!$F$6/2)</f>
        <v>8.8473307291666661</v>
      </c>
      <c r="D45" s="3" t="s">
        <v>9</v>
      </c>
    </row>
    <row r="46" spans="1:5" x14ac:dyDescent="0.25">
      <c r="A46" t="s">
        <v>89</v>
      </c>
      <c r="B46" s="2" t="s">
        <v>180</v>
      </c>
      <c r="C46" s="4">
        <f>$C$36*C42</f>
        <v>-148.21291603968754</v>
      </c>
      <c r="D46" s="3" t="s">
        <v>184</v>
      </c>
    </row>
    <row r="47" spans="1:5" x14ac:dyDescent="0.25">
      <c r="A47" t="s">
        <v>90</v>
      </c>
      <c r="B47" s="2" t="s">
        <v>183</v>
      </c>
      <c r="C47" s="4">
        <f>$C$36*C43</f>
        <v>-296.42583207937508</v>
      </c>
      <c r="D47" s="3" t="s">
        <v>184</v>
      </c>
    </row>
    <row r="48" spans="1:5" x14ac:dyDescent="0.25">
      <c r="A48" t="s">
        <v>91</v>
      </c>
      <c r="B48" s="2" t="s">
        <v>182</v>
      </c>
      <c r="C48" s="4">
        <f>$C$36*C44</f>
        <v>-301.10618073937508</v>
      </c>
      <c r="D48" s="3" t="s">
        <v>184</v>
      </c>
    </row>
    <row r="49" spans="1:4" x14ac:dyDescent="0.25">
      <c r="A49" t="s">
        <v>92</v>
      </c>
      <c r="B49" s="2" t="s">
        <v>181</v>
      </c>
      <c r="C49" s="4">
        <f>$C$36*C45</f>
        <v>-305.78652939937507</v>
      </c>
      <c r="D49" s="3" t="s">
        <v>184</v>
      </c>
    </row>
    <row r="50" spans="1:4" x14ac:dyDescent="0.25">
      <c r="A50" t="s">
        <v>93</v>
      </c>
      <c r="B50" s="2" t="s">
        <v>188</v>
      </c>
      <c r="C50" s="4">
        <f>C37*C45</f>
        <v>-750.69969510686724</v>
      </c>
      <c r="D50" s="3" t="s">
        <v>184</v>
      </c>
    </row>
    <row r="51" spans="1:4" x14ac:dyDescent="0.25">
      <c r="A51" t="s">
        <v>94</v>
      </c>
      <c r="B51" s="2" t="s">
        <v>191</v>
      </c>
      <c r="C51" s="4">
        <f>C37*C44</f>
        <v>-739.20953457246731</v>
      </c>
      <c r="D51" s="3" t="s">
        <v>184</v>
      </c>
    </row>
    <row r="52" spans="1:4" x14ac:dyDescent="0.25">
      <c r="A52" t="s">
        <v>95</v>
      </c>
      <c r="B52" s="2" t="s">
        <v>190</v>
      </c>
      <c r="C52" s="4">
        <f>C37*C43</f>
        <v>-727.71937403806737</v>
      </c>
      <c r="D52" s="3" t="s">
        <v>184</v>
      </c>
    </row>
    <row r="53" spans="1:4" x14ac:dyDescent="0.25">
      <c r="A53" t="s">
        <v>96</v>
      </c>
      <c r="B53" s="2" t="s">
        <v>189</v>
      </c>
      <c r="C53" s="4">
        <f>C37*C42</f>
        <v>-363.85968701903369</v>
      </c>
      <c r="D53" s="3" t="s">
        <v>184</v>
      </c>
    </row>
    <row r="54" spans="1:4" x14ac:dyDescent="0.25">
      <c r="A54" t="s">
        <v>97</v>
      </c>
      <c r="C54" s="12" t="s">
        <v>82</v>
      </c>
    </row>
    <row r="55" spans="1:4" x14ac:dyDescent="0.25">
      <c r="A55" t="s">
        <v>98</v>
      </c>
      <c r="B55" s="2" t="s">
        <v>192</v>
      </c>
      <c r="C55" s="4" cm="1">
        <f t="array" ref="C55:C58">Proj1!C27:C30</f>
        <v>637.4013671875</v>
      </c>
    </row>
    <row r="56" spans="1:4" x14ac:dyDescent="0.25">
      <c r="A56" t="s">
        <v>99</v>
      </c>
      <c r="B56" s="2" t="s">
        <v>193</v>
      </c>
      <c r="C56" s="4">
        <v>1074.802734375</v>
      </c>
    </row>
    <row r="57" spans="1:4" x14ac:dyDescent="0.25">
      <c r="A57" t="s">
        <v>100</v>
      </c>
      <c r="B57" s="2" t="s">
        <v>194</v>
      </c>
      <c r="C57" s="4">
        <v>1088.615234375</v>
      </c>
    </row>
    <row r="58" spans="1:4" x14ac:dyDescent="0.25">
      <c r="A58" t="s">
        <v>101</v>
      </c>
      <c r="B58" s="2" t="s">
        <v>195</v>
      </c>
      <c r="C58" s="4">
        <v>1302.427734375</v>
      </c>
    </row>
    <row r="59" spans="1:4" x14ac:dyDescent="0.25">
      <c r="A59" t="s">
        <v>102</v>
      </c>
      <c r="B59" s="2" t="s">
        <v>151</v>
      </c>
      <c r="C59" s="4">
        <f>Proj1!F3</f>
        <v>650</v>
      </c>
    </row>
    <row r="60" spans="1:4" x14ac:dyDescent="0.25">
      <c r="A60" t="s">
        <v>103</v>
      </c>
      <c r="B60" s="2" t="s">
        <v>196</v>
      </c>
      <c r="C60" s="4" cm="1">
        <f t="array" ref="C60:C63">Proj1!F15:F18</f>
        <v>2097.916666666667</v>
      </c>
    </row>
    <row r="61" spans="1:4" x14ac:dyDescent="0.25">
      <c r="A61" t="s">
        <v>104</v>
      </c>
      <c r="B61" s="2" t="s">
        <v>197</v>
      </c>
      <c r="C61" s="4">
        <v>4195.8333333333339</v>
      </c>
    </row>
    <row r="62" spans="1:4" x14ac:dyDescent="0.25">
      <c r="A62" t="s">
        <v>105</v>
      </c>
      <c r="B62" s="2" t="s">
        <v>198</v>
      </c>
      <c r="C62" s="4">
        <v>4262.083333333333</v>
      </c>
    </row>
    <row r="63" spans="1:4" x14ac:dyDescent="0.25">
      <c r="A63" t="s">
        <v>106</v>
      </c>
      <c r="B63" s="2" t="s">
        <v>199</v>
      </c>
      <c r="C63" s="4">
        <v>4328.333333333333</v>
      </c>
    </row>
    <row r="64" spans="1:4" x14ac:dyDescent="0.25">
      <c r="A64" t="s">
        <v>107</v>
      </c>
      <c r="B64" s="2" t="s">
        <v>200</v>
      </c>
      <c r="C64" s="4">
        <f>SIN(C18*PI()/180)</f>
        <v>0.42636416588259596</v>
      </c>
    </row>
    <row r="65" spans="1:7" x14ac:dyDescent="0.25">
      <c r="A65" t="s">
        <v>108</v>
      </c>
      <c r="B65" s="2" t="s">
        <v>201</v>
      </c>
      <c r="C65" s="4">
        <f>COS(C18*PI()/180)</f>
        <v>0.90455160054650185</v>
      </c>
    </row>
    <row r="66" spans="1:7" x14ac:dyDescent="0.25">
      <c r="A66" t="s">
        <v>109</v>
      </c>
      <c r="B66" s="2" t="s">
        <v>202</v>
      </c>
      <c r="C66" s="4">
        <f>C46*C64</f>
        <v>-63.192676320288605</v>
      </c>
      <c r="F66" t="s">
        <v>223</v>
      </c>
    </row>
    <row r="67" spans="1:7" x14ac:dyDescent="0.25">
      <c r="A67" t="s">
        <v>110</v>
      </c>
      <c r="B67" s="2" t="s">
        <v>203</v>
      </c>
      <c r="C67" s="4">
        <f>C55*G67+C59*G68+C46*C65*G69+C60*G70</f>
        <v>2329.7737435329695</v>
      </c>
      <c r="F67" t="s">
        <v>224</v>
      </c>
      <c r="G67">
        <v>1.2</v>
      </c>
    </row>
    <row r="68" spans="1:7" x14ac:dyDescent="0.25">
      <c r="A68" t="s">
        <v>111</v>
      </c>
      <c r="B68" s="2" t="s">
        <v>204</v>
      </c>
      <c r="C68" s="4">
        <f>C47*C64</f>
        <v>-126.38535264057721</v>
      </c>
      <c r="F68" t="s">
        <v>225</v>
      </c>
      <c r="G68">
        <v>1</v>
      </c>
    </row>
    <row r="69" spans="1:7" x14ac:dyDescent="0.25">
      <c r="A69" t="s">
        <v>112</v>
      </c>
      <c r="B69" s="2" t="s">
        <v>205</v>
      </c>
      <c r="C69" s="4">
        <f>C56*G67+C59*G68+C47*G69*C65+C61*G70</f>
        <v>3769.5474870659395</v>
      </c>
      <c r="F69" t="s">
        <v>226</v>
      </c>
      <c r="G69">
        <v>1</v>
      </c>
    </row>
    <row r="70" spans="1:7" x14ac:dyDescent="0.25">
      <c r="A70" t="s">
        <v>113</v>
      </c>
      <c r="B70" s="2" t="s">
        <v>206</v>
      </c>
      <c r="C70" s="4">
        <f>C48*C64</f>
        <v>-128.38088559303785</v>
      </c>
      <c r="F70" t="s">
        <v>227</v>
      </c>
      <c r="G70">
        <v>0.5</v>
      </c>
    </row>
    <row r="71" spans="1:7" x14ac:dyDescent="0.25">
      <c r="A71" t="s">
        <v>114</v>
      </c>
      <c r="B71" s="2" t="s">
        <v>207</v>
      </c>
      <c r="C71" s="4">
        <f>C57*G67+C59*G68+C48*C65*G69+C62*G70</f>
        <v>3815.0138701944206</v>
      </c>
    </row>
    <row r="72" spans="1:7" x14ac:dyDescent="0.25">
      <c r="A72" t="s">
        <v>115</v>
      </c>
      <c r="B72" s="2" t="s">
        <v>208</v>
      </c>
      <c r="C72" s="4">
        <f>C49*C64-C64*C50</f>
        <v>189.69503078706006</v>
      </c>
    </row>
    <row r="73" spans="1:7" x14ac:dyDescent="0.25">
      <c r="A73" t="s">
        <v>216</v>
      </c>
      <c r="B73" s="2" t="s">
        <v>209</v>
      </c>
      <c r="C73" s="4">
        <f>C58*G67+C59*G68+C49*C65*G69+C50*C65*G69+C63*G70</f>
        <v>3421.4336425842143</v>
      </c>
    </row>
    <row r="74" spans="1:7" x14ac:dyDescent="0.25">
      <c r="A74" t="s">
        <v>217</v>
      </c>
      <c r="B74" s="2" t="s">
        <v>210</v>
      </c>
      <c r="C74" s="4">
        <f>-C64*C51</f>
        <v>315.17245662045201</v>
      </c>
    </row>
    <row r="75" spans="1:7" x14ac:dyDescent="0.25">
      <c r="A75" t="s">
        <v>218</v>
      </c>
      <c r="B75" s="2" t="s">
        <v>211</v>
      </c>
      <c r="C75" s="4">
        <f>C57*G67+C59*G68+C51*C65*G69+C62*G70</f>
        <v>3418.7267802799065</v>
      </c>
    </row>
    <row r="76" spans="1:7" x14ac:dyDescent="0.25">
      <c r="A76" t="s">
        <v>219</v>
      </c>
      <c r="B76" s="2" t="s">
        <v>212</v>
      </c>
      <c r="C76" s="4">
        <f>-C64*C52</f>
        <v>310.27346390834543</v>
      </c>
    </row>
    <row r="77" spans="1:7" x14ac:dyDescent="0.25">
      <c r="A77" t="s">
        <v>220</v>
      </c>
      <c r="B77" s="2" t="s">
        <v>213</v>
      </c>
      <c r="C77" s="4">
        <f>C56*G67+C59*G68+C52*C65*G69+G70*C61</f>
        <v>3379.4202233818346</v>
      </c>
    </row>
    <row r="78" spans="1:7" x14ac:dyDescent="0.25">
      <c r="A78" t="s">
        <v>221</v>
      </c>
      <c r="B78" s="2" t="s">
        <v>214</v>
      </c>
      <c r="C78" s="4">
        <f>-C64*C53</f>
        <v>155.13673195417272</v>
      </c>
    </row>
    <row r="79" spans="1:7" x14ac:dyDescent="0.25">
      <c r="A79" t="s">
        <v>222</v>
      </c>
      <c r="B79" s="2" t="s">
        <v>215</v>
      </c>
      <c r="C79" s="4">
        <f>C55*G67+C59*G68+C65*C53*G69+G70*C60</f>
        <v>2134.7101116909171</v>
      </c>
    </row>
    <row r="80" spans="1:7" x14ac:dyDescent="0.25">
      <c r="A80" t="s">
        <v>228</v>
      </c>
      <c r="C80" s="12" t="s">
        <v>82</v>
      </c>
    </row>
    <row r="81" spans="1:3" x14ac:dyDescent="0.25">
      <c r="A81" t="s">
        <v>229</v>
      </c>
      <c r="B81" s="2" t="s">
        <v>230</v>
      </c>
      <c r="C81" s="1" t="s">
        <v>74</v>
      </c>
    </row>
    <row r="82" spans="1:3" x14ac:dyDescent="0.25">
      <c r="A82" t="s">
        <v>231</v>
      </c>
      <c r="B82" s="2" t="s">
        <v>289</v>
      </c>
      <c r="C82" s="1" t="s">
        <v>74</v>
      </c>
    </row>
    <row r="83" spans="1:3" x14ac:dyDescent="0.25">
      <c r="A83" t="s">
        <v>232</v>
      </c>
      <c r="B83" s="2" t="s">
        <v>290</v>
      </c>
      <c r="C83" s="1" t="s">
        <v>74</v>
      </c>
    </row>
    <row r="84" spans="1:3" x14ac:dyDescent="0.25">
      <c r="A84" t="s">
        <v>233</v>
      </c>
      <c r="B84" s="2" t="s">
        <v>291</v>
      </c>
      <c r="C84" s="1" t="s">
        <v>74</v>
      </c>
    </row>
    <row r="85" spans="1:3" x14ac:dyDescent="0.25">
      <c r="A85" t="s">
        <v>234</v>
      </c>
      <c r="B85" s="2" t="s">
        <v>292</v>
      </c>
      <c r="C85" s="1" t="s">
        <v>74</v>
      </c>
    </row>
    <row r="86" spans="1:3" x14ac:dyDescent="0.25">
      <c r="A86" t="s">
        <v>235</v>
      </c>
      <c r="B86" s="2" t="s">
        <v>293</v>
      </c>
      <c r="C86" s="1" t="s">
        <v>74</v>
      </c>
    </row>
    <row r="87" spans="1:3" x14ac:dyDescent="0.25">
      <c r="A87" t="s">
        <v>236</v>
      </c>
      <c r="B87" s="2" t="s">
        <v>294</v>
      </c>
      <c r="C87" s="1" t="s">
        <v>74</v>
      </c>
    </row>
    <row r="88" spans="1:3" x14ac:dyDescent="0.25">
      <c r="A88" t="s">
        <v>237</v>
      </c>
      <c r="B88" s="2" t="s">
        <v>295</v>
      </c>
      <c r="C88" s="1">
        <v>4.2000000000000003E-2</v>
      </c>
    </row>
    <row r="89" spans="1:3" x14ac:dyDescent="0.25">
      <c r="A89" t="s">
        <v>238</v>
      </c>
      <c r="B89" s="2" t="s">
        <v>296</v>
      </c>
      <c r="C89" s="1">
        <v>-0.22800000000000001</v>
      </c>
    </row>
    <row r="90" spans="1:3" x14ac:dyDescent="0.25">
      <c r="A90" t="s">
        <v>239</v>
      </c>
      <c r="B90" s="2" t="s">
        <v>297</v>
      </c>
      <c r="C90" s="1">
        <v>5.1999999999999998E-2</v>
      </c>
    </row>
    <row r="91" spans="1:3" x14ac:dyDescent="0.25">
      <c r="A91" t="s">
        <v>240</v>
      </c>
      <c r="B91" s="2" t="s">
        <v>298</v>
      </c>
      <c r="C91" s="1">
        <v>-0.23100000000000001</v>
      </c>
    </row>
    <row r="92" spans="1:3" x14ac:dyDescent="0.25">
      <c r="A92" t="s">
        <v>241</v>
      </c>
      <c r="C92" s="12" t="s">
        <v>299</v>
      </c>
    </row>
    <row r="93" spans="1:3" x14ac:dyDescent="0.25">
      <c r="A93" t="s">
        <v>242</v>
      </c>
      <c r="C93" s="1" t="s">
        <v>74</v>
      </c>
    </row>
    <row r="94" spans="1:3" x14ac:dyDescent="0.25">
      <c r="A94" t="s">
        <v>243</v>
      </c>
      <c r="C94" s="1" t="s">
        <v>74</v>
      </c>
    </row>
    <row r="95" spans="1:3" x14ac:dyDescent="0.25">
      <c r="A95" t="s">
        <v>244</v>
      </c>
      <c r="C95" s="1" t="s">
        <v>74</v>
      </c>
    </row>
    <row r="96" spans="1:3" x14ac:dyDescent="0.25">
      <c r="A96" t="s">
        <v>245</v>
      </c>
    </row>
    <row r="97" spans="1:1" x14ac:dyDescent="0.25">
      <c r="A97" t="s">
        <v>246</v>
      </c>
    </row>
    <row r="98" spans="1:1" x14ac:dyDescent="0.25">
      <c r="A98" t="s">
        <v>247</v>
      </c>
    </row>
    <row r="99" spans="1:1" x14ac:dyDescent="0.25">
      <c r="A99" t="s">
        <v>248</v>
      </c>
    </row>
    <row r="100" spans="1:1" x14ac:dyDescent="0.25">
      <c r="A100" t="s">
        <v>249</v>
      </c>
    </row>
    <row r="101" spans="1:1" x14ac:dyDescent="0.25">
      <c r="A101" t="s">
        <v>250</v>
      </c>
    </row>
    <row r="102" spans="1:1" x14ac:dyDescent="0.25">
      <c r="A102" t="s">
        <v>251</v>
      </c>
    </row>
    <row r="103" spans="1:1" x14ac:dyDescent="0.25">
      <c r="A103" t="s">
        <v>252</v>
      </c>
    </row>
    <row r="104" spans="1:1" x14ac:dyDescent="0.25">
      <c r="A104" t="s">
        <v>253</v>
      </c>
    </row>
    <row r="105" spans="1:1" x14ac:dyDescent="0.25">
      <c r="A105" t="s">
        <v>254</v>
      </c>
    </row>
    <row r="106" spans="1:1" x14ac:dyDescent="0.25">
      <c r="A106" t="s">
        <v>255</v>
      </c>
    </row>
    <row r="107" spans="1:1" x14ac:dyDescent="0.25">
      <c r="A107" t="s">
        <v>256</v>
      </c>
    </row>
    <row r="108" spans="1:1" x14ac:dyDescent="0.25">
      <c r="A108" t="s">
        <v>257</v>
      </c>
    </row>
    <row r="109" spans="1:1" x14ac:dyDescent="0.25">
      <c r="A109" t="s">
        <v>258</v>
      </c>
    </row>
    <row r="110" spans="1:1" x14ac:dyDescent="0.25">
      <c r="A110" t="s">
        <v>259</v>
      </c>
    </row>
    <row r="111" spans="1:1" x14ac:dyDescent="0.25">
      <c r="A111" t="s">
        <v>260</v>
      </c>
    </row>
    <row r="112" spans="1:1" x14ac:dyDescent="0.25">
      <c r="A112" t="s">
        <v>261</v>
      </c>
    </row>
    <row r="113" spans="1:1" x14ac:dyDescent="0.25">
      <c r="A113" t="s">
        <v>262</v>
      </c>
    </row>
    <row r="114" spans="1:1" x14ac:dyDescent="0.25">
      <c r="A114" t="s">
        <v>263</v>
      </c>
    </row>
    <row r="115" spans="1:1" x14ac:dyDescent="0.25">
      <c r="A115" t="s">
        <v>264</v>
      </c>
    </row>
    <row r="116" spans="1:1" x14ac:dyDescent="0.25">
      <c r="A116" t="s">
        <v>265</v>
      </c>
    </row>
    <row r="117" spans="1:1" x14ac:dyDescent="0.25">
      <c r="A117" t="s">
        <v>266</v>
      </c>
    </row>
    <row r="118" spans="1:1" x14ac:dyDescent="0.25">
      <c r="A118" t="s">
        <v>267</v>
      </c>
    </row>
    <row r="119" spans="1:1" x14ac:dyDescent="0.25">
      <c r="A119" t="s">
        <v>268</v>
      </c>
    </row>
    <row r="120" spans="1:1" x14ac:dyDescent="0.25">
      <c r="A120" t="s">
        <v>269</v>
      </c>
    </row>
    <row r="121" spans="1:1" x14ac:dyDescent="0.25">
      <c r="A121" t="s">
        <v>270</v>
      </c>
    </row>
    <row r="122" spans="1:1" x14ac:dyDescent="0.25">
      <c r="A122" t="s">
        <v>271</v>
      </c>
    </row>
    <row r="123" spans="1:1" x14ac:dyDescent="0.25">
      <c r="A123" t="s">
        <v>272</v>
      </c>
    </row>
    <row r="124" spans="1:1" x14ac:dyDescent="0.25">
      <c r="A124" t="s">
        <v>273</v>
      </c>
    </row>
    <row r="125" spans="1:1" x14ac:dyDescent="0.25">
      <c r="A125" t="s">
        <v>274</v>
      </c>
    </row>
    <row r="126" spans="1:1" x14ac:dyDescent="0.25">
      <c r="A126" t="s">
        <v>275</v>
      </c>
    </row>
    <row r="127" spans="1:1" x14ac:dyDescent="0.25">
      <c r="A127" t="s">
        <v>276</v>
      </c>
    </row>
    <row r="128" spans="1:1" x14ac:dyDescent="0.25">
      <c r="A128" t="s">
        <v>277</v>
      </c>
    </row>
    <row r="129" spans="1:1" x14ac:dyDescent="0.25">
      <c r="A129" t="s">
        <v>278</v>
      </c>
    </row>
    <row r="130" spans="1:1" x14ac:dyDescent="0.25">
      <c r="A130" t="s">
        <v>279</v>
      </c>
    </row>
    <row r="131" spans="1:1" x14ac:dyDescent="0.25">
      <c r="A131" t="s">
        <v>280</v>
      </c>
    </row>
    <row r="132" spans="1:1" x14ac:dyDescent="0.25">
      <c r="A132" t="s">
        <v>281</v>
      </c>
    </row>
    <row r="133" spans="1:1" x14ac:dyDescent="0.25">
      <c r="A133" t="s">
        <v>282</v>
      </c>
    </row>
    <row r="134" spans="1:1" x14ac:dyDescent="0.25">
      <c r="A134" t="s">
        <v>283</v>
      </c>
    </row>
    <row r="135" spans="1:1" x14ac:dyDescent="0.25">
      <c r="A135" t="s">
        <v>284</v>
      </c>
    </row>
    <row r="136" spans="1:1" x14ac:dyDescent="0.25">
      <c r="A136" t="s">
        <v>285</v>
      </c>
    </row>
    <row r="137" spans="1:1" x14ac:dyDescent="0.25">
      <c r="A137" t="s">
        <v>286</v>
      </c>
    </row>
    <row r="138" spans="1:1" x14ac:dyDescent="0.25">
      <c r="A138" t="s">
        <v>287</v>
      </c>
    </row>
    <row r="139" spans="1:1" x14ac:dyDescent="0.25">
      <c r="A139" t="s">
        <v>288</v>
      </c>
    </row>
  </sheetData>
  <mergeCells count="1">
    <mergeCell ref="B7:B8"/>
  </mergeCells>
  <phoneticPr fontId="2" type="noConversion"/>
  <hyperlinks>
    <hyperlink ref="I17" r:id="rId1" xr:uid="{90DFD6EC-2531-4CD8-A9B1-C8AAAE4FB5EB}"/>
    <hyperlink ref="I20" r:id="rId2" xr:uid="{C1D765D1-89F0-4626-9825-31284B67726D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4D6E1C-9FE4-4600-90DE-E413A2AD2021}">
  <dimension ref="B2:K80"/>
  <sheetViews>
    <sheetView topLeftCell="A50" workbookViewId="0">
      <selection activeCell="F33" sqref="F33"/>
    </sheetView>
  </sheetViews>
  <sheetFormatPr defaultColWidth="12.5703125" defaultRowHeight="15" x14ac:dyDescent="0.25"/>
  <sheetData>
    <row r="2" spans="2:11" ht="15.75" customHeight="1" x14ac:dyDescent="0.25"/>
    <row r="3" spans="2:11" x14ac:dyDescent="0.25">
      <c r="B3" s="13" t="s">
        <v>117</v>
      </c>
      <c r="C3" s="13">
        <v>19</v>
      </c>
      <c r="D3" s="13" t="s">
        <v>77</v>
      </c>
      <c r="E3" s="13" t="s">
        <v>118</v>
      </c>
      <c r="F3" s="13">
        <v>650</v>
      </c>
      <c r="G3" s="13" t="s">
        <v>119</v>
      </c>
      <c r="I3" s="13" t="s">
        <v>120</v>
      </c>
      <c r="J3" s="13">
        <f t="shared" ref="J3:J4" si="0">8+(6+235/256)/12</f>
        <v>8.5764973958333339</v>
      </c>
      <c r="K3" s="13" t="s">
        <v>9</v>
      </c>
    </row>
    <row r="4" spans="2:11" x14ac:dyDescent="0.25">
      <c r="B4" s="13" t="s">
        <v>121</v>
      </c>
      <c r="C4" s="13">
        <v>10</v>
      </c>
      <c r="D4" s="13" t="s">
        <v>77</v>
      </c>
      <c r="E4" s="13" t="s">
        <v>122</v>
      </c>
      <c r="F4" s="13">
        <v>26.5</v>
      </c>
      <c r="G4" s="13" t="s">
        <v>17</v>
      </c>
      <c r="I4" s="13" t="s">
        <v>123</v>
      </c>
      <c r="J4" s="13">
        <f t="shared" si="0"/>
        <v>8.5764973958333339</v>
      </c>
      <c r="K4" s="13" t="s">
        <v>9</v>
      </c>
    </row>
    <row r="5" spans="2:11" x14ac:dyDescent="0.25">
      <c r="B5" s="13" t="s">
        <v>124</v>
      </c>
      <c r="C5" s="13">
        <v>2.4</v>
      </c>
      <c r="D5" s="13" t="s">
        <v>17</v>
      </c>
      <c r="I5" s="13" t="s">
        <v>125</v>
      </c>
      <c r="J5" s="13">
        <f>8+(10+43/256)/12</f>
        <v>8.8473307291666661</v>
      </c>
      <c r="K5" s="13" t="s">
        <v>9</v>
      </c>
    </row>
    <row r="6" spans="2:11" x14ac:dyDescent="0.25">
      <c r="B6" s="13" t="s">
        <v>126</v>
      </c>
      <c r="C6" s="13">
        <v>2.7</v>
      </c>
      <c r="D6" s="13" t="s">
        <v>17</v>
      </c>
      <c r="I6" s="13" t="s">
        <v>127</v>
      </c>
      <c r="J6" s="13">
        <f t="shared" ref="J6:J7" si="1">7+11/12</f>
        <v>7.916666666666667</v>
      </c>
      <c r="K6" s="13" t="s">
        <v>9</v>
      </c>
    </row>
    <row r="7" spans="2:11" x14ac:dyDescent="0.25">
      <c r="I7" s="13" t="s">
        <v>128</v>
      </c>
      <c r="J7" s="13">
        <f t="shared" si="1"/>
        <v>7.916666666666667</v>
      </c>
      <c r="K7" s="13" t="s">
        <v>9</v>
      </c>
    </row>
    <row r="8" spans="2:11" x14ac:dyDescent="0.25">
      <c r="B8" s="13" t="s">
        <v>129</v>
      </c>
      <c r="E8" s="13" t="s">
        <v>130</v>
      </c>
      <c r="I8" s="13" t="s">
        <v>131</v>
      </c>
      <c r="J8" s="13">
        <f>8+2/12</f>
        <v>8.1666666666666661</v>
      </c>
      <c r="K8" s="13" t="s">
        <v>9</v>
      </c>
    </row>
    <row r="9" spans="2:11" x14ac:dyDescent="0.25">
      <c r="B9" s="13" t="s">
        <v>132</v>
      </c>
      <c r="C9" s="13">
        <f>J14/2*J3/2</f>
        <v>85.764973958333343</v>
      </c>
      <c r="E9" s="13" t="s">
        <v>132</v>
      </c>
      <c r="F9" s="13">
        <f>J14/2*J6/2</f>
        <v>79.166666666666671</v>
      </c>
      <c r="I9" s="13" t="s">
        <v>133</v>
      </c>
      <c r="J9" s="13">
        <f>3+(3+149/256)/12</f>
        <v>3.2985026041666665</v>
      </c>
      <c r="K9" s="13" t="s">
        <v>9</v>
      </c>
    </row>
    <row r="10" spans="2:11" x14ac:dyDescent="0.25">
      <c r="B10" s="13" t="s">
        <v>134</v>
      </c>
      <c r="C10" s="13">
        <f>J14/2*(J3/2+J4/2)</f>
        <v>171.52994791666669</v>
      </c>
      <c r="E10" s="13" t="s">
        <v>134</v>
      </c>
      <c r="F10" s="13">
        <f>J14/2*(J6/2+J7/2)</f>
        <v>158.33333333333334</v>
      </c>
      <c r="I10" s="13" t="s">
        <v>135</v>
      </c>
      <c r="J10" s="13">
        <f>8+(6+235/256)/12</f>
        <v>8.5764973958333339</v>
      </c>
      <c r="K10" s="13" t="s">
        <v>9</v>
      </c>
    </row>
    <row r="11" spans="2:11" x14ac:dyDescent="0.25">
      <c r="B11" s="13" t="s">
        <v>136</v>
      </c>
      <c r="C11" s="13">
        <f>J14/2*(J4/2+J5/2)</f>
        <v>174.23828125</v>
      </c>
      <c r="E11" s="13" t="s">
        <v>136</v>
      </c>
      <c r="F11" s="13">
        <f>J14/2*(J7/2+J8/2)</f>
        <v>160.83333333333331</v>
      </c>
      <c r="I11" s="13" t="s">
        <v>137</v>
      </c>
      <c r="J11" s="13">
        <f>6+7.1/12</f>
        <v>6.5916666666666668</v>
      </c>
      <c r="K11" s="13" t="s">
        <v>9</v>
      </c>
    </row>
    <row r="12" spans="2:11" x14ac:dyDescent="0.25">
      <c r="B12" s="13" t="s">
        <v>138</v>
      </c>
      <c r="C12" s="13">
        <f>J14/2*J5</f>
        <v>176.94661458333331</v>
      </c>
      <c r="E12" s="13" t="s">
        <v>138</v>
      </c>
      <c r="F12" s="13">
        <f>J14/2*(J8)</f>
        <v>163.33333333333331</v>
      </c>
      <c r="I12" s="13" t="s">
        <v>139</v>
      </c>
      <c r="J12" s="13">
        <f>12+10.9/12</f>
        <v>12.908333333333333</v>
      </c>
      <c r="K12" s="13" t="s">
        <v>9</v>
      </c>
    </row>
    <row r="13" spans="2:11" x14ac:dyDescent="0.25">
      <c r="I13" s="13" t="s">
        <v>140</v>
      </c>
      <c r="J13" s="13">
        <v>10</v>
      </c>
      <c r="K13" s="13" t="s">
        <v>9</v>
      </c>
    </row>
    <row r="14" spans="2:11" x14ac:dyDescent="0.25">
      <c r="B14" s="13" t="s">
        <v>141</v>
      </c>
      <c r="E14" s="13" t="s">
        <v>142</v>
      </c>
      <c r="I14" s="13" t="s">
        <v>143</v>
      </c>
      <c r="J14" s="13">
        <v>40</v>
      </c>
      <c r="K14" s="13" t="s">
        <v>9</v>
      </c>
    </row>
    <row r="15" spans="2:11" x14ac:dyDescent="0.25">
      <c r="B15" s="13" t="s">
        <v>132</v>
      </c>
      <c r="C15" s="13">
        <f t="shared" ref="C15:C18" si="2">C9*($C$5+$C$6)</f>
        <v>437.4013671875</v>
      </c>
      <c r="E15" s="13" t="s">
        <v>132</v>
      </c>
      <c r="F15" s="14">
        <f t="shared" ref="F15:F18" si="3">F9*$F$4</f>
        <v>2097.916666666667</v>
      </c>
      <c r="I15" s="13" t="s">
        <v>144</v>
      </c>
      <c r="J15" s="13">
        <f>J14*(J3+J4+J5)*2*2</f>
        <v>4160.0520833333339</v>
      </c>
      <c r="K15" s="13" t="s">
        <v>145</v>
      </c>
    </row>
    <row r="16" spans="2:11" x14ac:dyDescent="0.25">
      <c r="B16" s="13" t="s">
        <v>134</v>
      </c>
      <c r="C16" s="13">
        <f t="shared" si="2"/>
        <v>874.802734375</v>
      </c>
      <c r="E16" s="13" t="s">
        <v>134</v>
      </c>
      <c r="F16" s="14">
        <f t="shared" si="3"/>
        <v>4195.8333333333339</v>
      </c>
    </row>
    <row r="17" spans="2:6" x14ac:dyDescent="0.25">
      <c r="B17" s="13" t="s">
        <v>136</v>
      </c>
      <c r="C17" s="13">
        <f t="shared" si="2"/>
        <v>888.61523437499989</v>
      </c>
      <c r="E17" s="13" t="s">
        <v>136</v>
      </c>
      <c r="F17" s="14">
        <f t="shared" si="3"/>
        <v>4262.083333333333</v>
      </c>
    </row>
    <row r="18" spans="2:6" x14ac:dyDescent="0.25">
      <c r="B18" s="13" t="s">
        <v>138</v>
      </c>
      <c r="C18" s="13">
        <f t="shared" si="2"/>
        <v>902.42773437499989</v>
      </c>
      <c r="E18" s="13" t="s">
        <v>138</v>
      </c>
      <c r="F18" s="14">
        <f t="shared" si="3"/>
        <v>4328.333333333333</v>
      </c>
    </row>
    <row r="19" spans="2:6" ht="15.75" customHeight="1" x14ac:dyDescent="0.25"/>
    <row r="20" spans="2:6" x14ac:dyDescent="0.25">
      <c r="B20" s="13" t="s">
        <v>146</v>
      </c>
      <c r="E20" s="13" t="s">
        <v>147</v>
      </c>
    </row>
    <row r="21" spans="2:6" x14ac:dyDescent="0.25">
      <c r="B21" s="13" t="s">
        <v>132</v>
      </c>
      <c r="C21" s="13">
        <f t="shared" ref="C21:C23" si="4">$J$14/2*$C$4</f>
        <v>200</v>
      </c>
      <c r="E21" s="13" t="s">
        <v>132</v>
      </c>
      <c r="F21" s="13">
        <v>650</v>
      </c>
    </row>
    <row r="22" spans="2:6" x14ac:dyDescent="0.25">
      <c r="B22" s="13" t="s">
        <v>134</v>
      </c>
      <c r="C22" s="13">
        <f t="shared" si="4"/>
        <v>200</v>
      </c>
      <c r="E22" s="13" t="s">
        <v>134</v>
      </c>
      <c r="F22" s="13">
        <v>650</v>
      </c>
    </row>
    <row r="23" spans="2:6" x14ac:dyDescent="0.25">
      <c r="B23" s="13" t="s">
        <v>136</v>
      </c>
      <c r="C23" s="13">
        <f t="shared" si="4"/>
        <v>200</v>
      </c>
      <c r="E23" s="13" t="s">
        <v>136</v>
      </c>
      <c r="F23" s="13">
        <v>650</v>
      </c>
    </row>
    <row r="24" spans="2:6" x14ac:dyDescent="0.25">
      <c r="B24" s="13" t="s">
        <v>138</v>
      </c>
      <c r="C24" s="13">
        <f>$J$14/2*$C$4*2</f>
        <v>400</v>
      </c>
      <c r="E24" s="13" t="s">
        <v>138</v>
      </c>
      <c r="F24" s="13">
        <v>650</v>
      </c>
    </row>
    <row r="25" spans="2:6" ht="15.75" customHeight="1" x14ac:dyDescent="0.25"/>
    <row r="26" spans="2:6" x14ac:dyDescent="0.25">
      <c r="B26" s="13" t="s">
        <v>148</v>
      </c>
      <c r="E26" s="13" t="s">
        <v>149</v>
      </c>
    </row>
    <row r="27" spans="2:6" x14ac:dyDescent="0.25">
      <c r="B27" s="13" t="s">
        <v>132</v>
      </c>
      <c r="C27" s="13">
        <f t="shared" ref="C27:C30" si="5">C21+C15</f>
        <v>637.4013671875</v>
      </c>
      <c r="E27" s="13" t="s">
        <v>150</v>
      </c>
      <c r="F27" s="13">
        <v>1.2</v>
      </c>
    </row>
    <row r="28" spans="2:6" x14ac:dyDescent="0.25">
      <c r="B28" s="13" t="s">
        <v>134</v>
      </c>
      <c r="C28" s="13">
        <f t="shared" si="5"/>
        <v>1074.802734375</v>
      </c>
      <c r="E28" s="13" t="s">
        <v>151</v>
      </c>
      <c r="F28" s="13">
        <v>1.6</v>
      </c>
    </row>
    <row r="29" spans="2:6" x14ac:dyDescent="0.25">
      <c r="B29" s="13" t="s">
        <v>136</v>
      </c>
      <c r="C29" s="13">
        <f t="shared" si="5"/>
        <v>1088.615234375</v>
      </c>
      <c r="E29" s="13" t="s">
        <v>152</v>
      </c>
      <c r="F29" s="13">
        <v>0.5</v>
      </c>
    </row>
    <row r="30" spans="2:6" x14ac:dyDescent="0.25">
      <c r="B30" s="13" t="s">
        <v>138</v>
      </c>
      <c r="C30" s="13">
        <f t="shared" si="5"/>
        <v>1302.427734375</v>
      </c>
    </row>
    <row r="31" spans="2:6" ht="15.75" customHeight="1" x14ac:dyDescent="0.25"/>
    <row r="32" spans="2:6" x14ac:dyDescent="0.25">
      <c r="B32" s="13" t="s">
        <v>153</v>
      </c>
      <c r="C32" s="13">
        <v>1.4</v>
      </c>
      <c r="E32" s="13" t="s">
        <v>154</v>
      </c>
    </row>
    <row r="33" spans="2:6" x14ac:dyDescent="0.25">
      <c r="B33" s="13" t="s">
        <v>132</v>
      </c>
      <c r="C33" s="14">
        <f t="shared" ref="C33:C36" si="6">$C$32*C27</f>
        <v>892.36191406249998</v>
      </c>
      <c r="E33" s="13" t="s">
        <v>132</v>
      </c>
      <c r="F33" s="14">
        <f t="shared" ref="F33:F36" si="7">C27*$F$27+F15*$F$29+F21*$F$28</f>
        <v>2853.8399739583333</v>
      </c>
    </row>
    <row r="34" spans="2:6" x14ac:dyDescent="0.25">
      <c r="B34" s="13" t="s">
        <v>134</v>
      </c>
      <c r="C34" s="14">
        <f t="shared" si="6"/>
        <v>1504.723828125</v>
      </c>
      <c r="E34" s="13" t="s">
        <v>134</v>
      </c>
      <c r="F34" s="14">
        <f t="shared" si="7"/>
        <v>4427.6799479166666</v>
      </c>
    </row>
    <row r="35" spans="2:6" x14ac:dyDescent="0.25">
      <c r="B35" s="13" t="s">
        <v>136</v>
      </c>
      <c r="C35" s="14">
        <f t="shared" si="6"/>
        <v>1524.0613281249998</v>
      </c>
      <c r="E35" s="13" t="s">
        <v>136</v>
      </c>
      <c r="F35" s="14">
        <f t="shared" si="7"/>
        <v>4477.3799479166664</v>
      </c>
    </row>
    <row r="36" spans="2:6" x14ac:dyDescent="0.25">
      <c r="B36" s="13" t="s">
        <v>138</v>
      </c>
      <c r="C36" s="14">
        <f t="shared" si="6"/>
        <v>1823.3988281249999</v>
      </c>
      <c r="E36" s="13" t="s">
        <v>138</v>
      </c>
      <c r="F36" s="14">
        <f t="shared" si="7"/>
        <v>4767.0799479166662</v>
      </c>
    </row>
    <row r="37" spans="2:6" ht="15.75" customHeight="1" x14ac:dyDescent="0.25"/>
    <row r="38" spans="2:6" x14ac:dyDescent="0.25">
      <c r="B38" s="13" t="s">
        <v>155</v>
      </c>
      <c r="C38" s="13">
        <v>0</v>
      </c>
    </row>
    <row r="39" spans="2:6" x14ac:dyDescent="0.25">
      <c r="B39" s="13" t="s">
        <v>156</v>
      </c>
      <c r="C39" s="14">
        <f>(F33*2+F34*2+F35*2+F36)/2</f>
        <v>14142.43984375</v>
      </c>
    </row>
    <row r="40" spans="2:6" x14ac:dyDescent="0.25">
      <c r="B40" s="13" t="s">
        <v>157</v>
      </c>
      <c r="C40" s="14">
        <f>C39</f>
        <v>14142.43984375</v>
      </c>
    </row>
    <row r="41" spans="2:6" ht="15.75" customHeight="1" x14ac:dyDescent="0.25"/>
    <row r="42" spans="2:6" x14ac:dyDescent="0.25">
      <c r="B42" s="13" t="s">
        <v>158</v>
      </c>
      <c r="C42" s="14">
        <f>(J3/J9)*(F33-C39)</f>
        <v>-29351.696513313043</v>
      </c>
    </row>
    <row r="43" spans="2:6" x14ac:dyDescent="0.25">
      <c r="B43" s="13" t="s">
        <v>159</v>
      </c>
      <c r="C43" s="14">
        <f>-(J6/J3)*C42</f>
        <v>27093.530922069807</v>
      </c>
    </row>
    <row r="44" spans="2:6" x14ac:dyDescent="0.25">
      <c r="B44" s="13" t="s">
        <v>160</v>
      </c>
      <c r="C44" s="14">
        <f>C43</f>
        <v>27093.530922069807</v>
      </c>
    </row>
    <row r="45" spans="2:6" x14ac:dyDescent="0.25">
      <c r="B45" s="13" t="s">
        <v>161</v>
      </c>
      <c r="C45" s="13">
        <v>0</v>
      </c>
    </row>
    <row r="46" spans="2:6" x14ac:dyDescent="0.25">
      <c r="B46" s="13" t="s">
        <v>162</v>
      </c>
      <c r="C46" s="14">
        <f>(((J11-J9)*C42*J6)/(J4*J3)-(J7/J4)*(C42*(J9/J3)+F34))/E46</f>
        <v>-5737.1363268875502</v>
      </c>
      <c r="D46" s="13" t="s">
        <v>163</v>
      </c>
      <c r="E46" s="13">
        <f>((J11-J9)*J7)/(J4*J10)+(J9*J7)/(J10*J4)</f>
        <v>0.7094432754186335</v>
      </c>
    </row>
    <row r="47" spans="2:6" x14ac:dyDescent="0.25">
      <c r="B47" s="13" t="s">
        <v>164</v>
      </c>
      <c r="C47" s="14">
        <f>((C42*(J9/J3)+F34)*(J7/J10)+(C42*J6*J9)/(J3*J10))/E46</f>
        <v>-23614.560186425493</v>
      </c>
    </row>
    <row r="48" spans="2:6" x14ac:dyDescent="0.25">
      <c r="B48" s="13" t="s">
        <v>165</v>
      </c>
      <c r="C48" s="14">
        <f>C47</f>
        <v>-23614.560186425493</v>
      </c>
    </row>
    <row r="49" spans="2:3" x14ac:dyDescent="0.25">
      <c r="B49" s="13" t="s">
        <v>166</v>
      </c>
      <c r="C49" s="14">
        <f>-F35</f>
        <v>-4477.3799479166664</v>
      </c>
    </row>
    <row r="50" spans="2:3" x14ac:dyDescent="0.25">
      <c r="B50" s="13" t="s">
        <v>167</v>
      </c>
      <c r="C50" s="14">
        <f>C46*(J7/J10)-C51*(J8/J12)+C44</f>
        <v>16339.285662829792</v>
      </c>
    </row>
    <row r="51" spans="2:3" x14ac:dyDescent="0.25">
      <c r="B51" s="13" t="s">
        <v>168</v>
      </c>
      <c r="C51" s="14">
        <f>(J12/J13)*(-C46*(J9/J10)-C49)</f>
        <v>8627.7626325162073</v>
      </c>
    </row>
    <row r="52" spans="2:3" x14ac:dyDescent="0.25">
      <c r="B52" s="13" t="s">
        <v>140</v>
      </c>
      <c r="C52" s="13">
        <v>0</v>
      </c>
    </row>
    <row r="53" spans="2:3" x14ac:dyDescent="0.25">
      <c r="B53" s="13" t="s">
        <v>169</v>
      </c>
      <c r="C53" s="14">
        <f>C50</f>
        <v>16339.285662829792</v>
      </c>
    </row>
    <row r="54" spans="2:3" x14ac:dyDescent="0.25">
      <c r="B54" s="13" t="s">
        <v>170</v>
      </c>
      <c r="C54" s="14">
        <f>C48</f>
        <v>-23614.560186425493</v>
      </c>
    </row>
    <row r="55" spans="2:3" x14ac:dyDescent="0.25">
      <c r="B55" s="13" t="s">
        <v>171</v>
      </c>
      <c r="C55" s="14">
        <f>C51</f>
        <v>8627.7626325162073</v>
      </c>
    </row>
    <row r="56" spans="2:3" x14ac:dyDescent="0.25">
      <c r="B56" s="13" t="s">
        <v>172</v>
      </c>
      <c r="C56" s="14">
        <f>C47</f>
        <v>-23614.560186425493</v>
      </c>
    </row>
    <row r="57" spans="2:3" x14ac:dyDescent="0.25">
      <c r="B57" s="13" t="s">
        <v>173</v>
      </c>
      <c r="C57" s="14">
        <f>C49</f>
        <v>-4477.3799479166664</v>
      </c>
    </row>
    <row r="58" spans="2:3" x14ac:dyDescent="0.25">
      <c r="B58" s="13" t="s">
        <v>174</v>
      </c>
      <c r="C58" s="14">
        <f>C44</f>
        <v>27093.530922069807</v>
      </c>
    </row>
    <row r="59" spans="2:3" x14ac:dyDescent="0.25">
      <c r="B59" s="13" t="s">
        <v>175</v>
      </c>
      <c r="C59" s="14">
        <f>C46</f>
        <v>-5737.1363268875502</v>
      </c>
    </row>
    <row r="60" spans="2:3" x14ac:dyDescent="0.25">
      <c r="B60" s="13" t="s">
        <v>176</v>
      </c>
      <c r="C60" s="14">
        <f>C43</f>
        <v>27093.530922069807</v>
      </c>
    </row>
    <row r="61" spans="2:3" x14ac:dyDescent="0.25">
      <c r="B61" s="13" t="s">
        <v>177</v>
      </c>
      <c r="C61" s="13">
        <f>C45</f>
        <v>0</v>
      </c>
    </row>
    <row r="62" spans="2:3" x14ac:dyDescent="0.25">
      <c r="B62" s="13" t="s">
        <v>178</v>
      </c>
      <c r="C62" s="14">
        <f>C42</f>
        <v>-29351.696513313043</v>
      </c>
    </row>
    <row r="63" spans="2:3" ht="15.75" customHeight="1" x14ac:dyDescent="0.25"/>
    <row r="64" spans="2:3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Proj1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Johnson</dc:creator>
  <cp:lastModifiedBy>Eric Johnson</cp:lastModifiedBy>
  <dcterms:created xsi:type="dcterms:W3CDTF">2015-06-05T18:17:20Z</dcterms:created>
  <dcterms:modified xsi:type="dcterms:W3CDTF">2026-03-20T16:54:40Z</dcterms:modified>
</cp:coreProperties>
</file>